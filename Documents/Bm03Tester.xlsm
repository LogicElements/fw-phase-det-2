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D:\work\gitlab\fw-bm03-tester\Documents\"/>
    </mc:Choice>
  </mc:AlternateContent>
  <xr:revisionPtr revIDLastSave="0" documentId="13_ncr:1_{C157674C-95FD-4C9F-B749-2F037253AACC}" xr6:coauthVersionLast="47" xr6:coauthVersionMax="47" xr10:uidLastSave="{00000000-0000-0000-0000-000000000000}"/>
  <bookViews>
    <workbookView xWindow="24765" yWindow="435" windowWidth="25260" windowHeight="199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7" i="25" l="1"/>
  <c r="I68" i="25" s="1"/>
  <c r="I69" i="25" s="1"/>
  <c r="I70" i="25" s="1"/>
  <c r="K66" i="25"/>
  <c r="L66" i="25"/>
  <c r="L70" i="25"/>
  <c r="L71" i="25"/>
  <c r="I66" i="25"/>
  <c r="I71" i="25" l="1"/>
  <c r="K71" i="25" s="1"/>
  <c r="K70" i="25"/>
  <c r="I72" i="25"/>
  <c r="K72" i="25"/>
  <c r="L89" i="25"/>
  <c r="L88" i="25"/>
  <c r="L87" i="25"/>
  <c r="L86" i="25"/>
  <c r="L85" i="25"/>
  <c r="L84" i="25"/>
  <c r="L83" i="25"/>
  <c r="L82" i="25"/>
  <c r="L81" i="25"/>
  <c r="L80" i="25"/>
  <c r="L79" i="25"/>
  <c r="L78" i="25"/>
  <c r="L77" i="25"/>
  <c r="L76" i="25"/>
  <c r="L75" i="25"/>
  <c r="L74" i="25"/>
  <c r="L73" i="25"/>
  <c r="I73" i="25"/>
  <c r="K73" i="25" s="1"/>
  <c r="L72" i="25"/>
  <c r="I74" i="25" l="1"/>
  <c r="K74" i="25" l="1"/>
  <c r="I75" i="25"/>
  <c r="I76" i="25" l="1"/>
  <c r="K75" i="25"/>
  <c r="K76" i="25" l="1"/>
  <c r="I77" i="25"/>
  <c r="K77" i="25" l="1"/>
  <c r="I78" i="25"/>
  <c r="K78" i="25" l="1"/>
  <c r="I79" i="25"/>
  <c r="K79" i="25" l="1"/>
  <c r="I80" i="25"/>
  <c r="K80" i="25" l="1"/>
  <c r="I81" i="25"/>
  <c r="K81" i="25" l="1"/>
  <c r="I82" i="25"/>
  <c r="K82" i="25" l="1"/>
  <c r="I83" i="25"/>
  <c r="K83" i="25" l="1"/>
  <c r="I84" i="25"/>
  <c r="K84" i="25" l="1"/>
  <c r="I85" i="25"/>
  <c r="K85" i="25" l="1"/>
  <c r="I86" i="25"/>
  <c r="K86" i="25" l="1"/>
  <c r="I87" i="25"/>
  <c r="L52" i="25"/>
  <c r="L53" i="25"/>
  <c r="L54" i="25"/>
  <c r="L55" i="25"/>
  <c r="L56" i="25"/>
  <c r="L51" i="25"/>
  <c r="L30" i="25"/>
  <c r="I50" i="25"/>
  <c r="K50" i="25" s="1"/>
  <c r="L50" i="25"/>
  <c r="K63" i="25"/>
  <c r="K45" i="25"/>
  <c r="L46" i="25"/>
  <c r="I46" i="25"/>
  <c r="K46" i="25" s="1"/>
  <c r="L45" i="25"/>
  <c r="L63" i="25"/>
  <c r="L29" i="25"/>
  <c r="F10" i="25"/>
  <c r="F8" i="25"/>
  <c r="I51" i="25" l="1"/>
  <c r="K87" i="25"/>
  <c r="I88" i="25"/>
  <c r="L41" i="25"/>
  <c r="L40" i="25"/>
  <c r="L39" i="25"/>
  <c r="L38" i="25"/>
  <c r="L36" i="25"/>
  <c r="L35" i="25"/>
  <c r="L34" i="25"/>
  <c r="L33" i="25"/>
  <c r="L28" i="25"/>
  <c r="L27" i="25"/>
  <c r="L20" i="25"/>
  <c r="L19" i="25"/>
  <c r="L18" i="25"/>
  <c r="K38" i="25"/>
  <c r="K33" i="25"/>
  <c r="K88" i="25" l="1"/>
  <c r="I89" i="25"/>
  <c r="K89" i="25" s="1"/>
  <c r="I52" i="25"/>
  <c r="K51" i="25"/>
  <c r="I39" i="25"/>
  <c r="I53" i="25" l="1"/>
  <c r="K52" i="25"/>
  <c r="I40" i="25"/>
  <c r="K39" i="25"/>
  <c r="I54" i="25" l="1"/>
  <c r="K53" i="25"/>
  <c r="I41" i="25"/>
  <c r="K41" i="25" s="1"/>
  <c r="K40" i="25"/>
  <c r="I55" i="25" l="1"/>
  <c r="K54" i="25"/>
  <c r="I18" i="25"/>
  <c r="F7" i="25"/>
  <c r="F12" i="25"/>
  <c r="I56" i="25" l="1"/>
  <c r="K56" i="25" s="1"/>
  <c r="K55" i="25"/>
  <c r="K18" i="25"/>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<sst xmlns="http://schemas.openxmlformats.org/spreadsheetml/2006/main" count="475" uniqueCount="280">
  <si>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</si>
  <si>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</si>
  <si>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</si>
  <si>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</si>
  <si>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</si>
  <si>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</si>
  <si>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</si>
  <si>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</si>
  <si>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</si>
  <si>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</si>
  <si>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</si>
  <si>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</si>
  <si>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</si>
  <si>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</si>
  <si>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</si>
  <si>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</si>
  <si>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</si>
  <si>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</si>
  <si>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</si>
  <si>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</si>
  <si>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</si>
  <si>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</si>
  <si>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</si>
  <si>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</si>
  <si>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</si>
  <si>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</si>
  <si>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</si>
  <si>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</si>
  <si>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</si>
  <si>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</si>
  <si>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</si>
  <si>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</si>
  <si>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</si>
  <si>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</si>
  <si>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</si>
  <si>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</si>
  <si>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</si>
  <si>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</si>
  <si>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</si>
  <si>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</si>
  <si>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</si>
  <si>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</si>
  <si>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</si>
  <si>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</si>
  <si>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</si>
  <si>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</si>
  <si>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</si>
  <si>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</si>
  <si>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</si>
  <si>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</si>
  <si>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</si>
  <si>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</si>
  <si>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</si>
  <si>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</si>
  <si>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</si>
  <si>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</si>
  <si>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</si>
  <si>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</si>
  <si>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</si>
  <si>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</si>
  <si>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</si>
  <si>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</si>
  <si>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</si>
  <si>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</si>
  <si>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</si>
  <si>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</si>
  <si>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</si>
  <si>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</si>
  <si>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</si>
  <si>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</si>
  <si>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</si>
  <si>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</si>
  <si>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</si>
  <si>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</si>
  <si>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</si>
  <si>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</si>
  <si>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</si>
  <si>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</si>
  <si>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</si>
  <si>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</si>
  <si>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</si>
  <si>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</si>
  <si>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</si>
  <si>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</si>
  <si>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</si>
  <si>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</si>
  <si>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</si>
  <si>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</si>
  <si>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</si>
  <si>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</si>
  <si>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</si>
  <si>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</si>
  <si>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</si>
  <si>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</si>
  <si>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</si>
  <si>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</si>
  <si>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</si>
  <si>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</si>
  <si>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</si>
  <si>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</si>
  <si>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</si>
  <si>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</si>
  <si>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</si>
  <si>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</si>
  <si>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</si>
  <si>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</si>
  <si>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</si>
  <si>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</si>
  <si>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</si>
  <si>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</si>
  <si>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</si>
  <si>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</si>
  <si>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</si>
  <si>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</si>
  <si>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</si>
  <si>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</si>
  <si>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</si>
  <si>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</si>
  <si>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</si>
  <si>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</si>
  <si>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</si>
  <si>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</si>
  <si>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</si>
  <si>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</si>
  <si>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</si>
  <si>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</si>
  <si>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</si>
  <si>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</si>
  <si>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</si>
  <si>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</si>
  <si>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</si>
  <si>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</si>
  <si>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</si>
  <si>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</si>
  <si>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</si>
  <si>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</si>
  <si>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</si>
  <si>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</si>
  <si>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</si>
  <si>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</si>
  <si>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</si>
  <si>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</si>
  <si>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</si>
  <si>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</si>
  <si>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</si>
  <si>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</si>
  <si>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</si>
  <si>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</si>
  <si>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</si>
  <si>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</si>
  <si>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</si>
  <si>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</si>
  <si>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</si>
  <si>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</si>
  <si>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</si>
  <si>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</si>
  <si>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</si>
  <si>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</si>
  <si>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</si>
  <si>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</si>
  <si>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</si>
  <si>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</si>
  <si>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</si>
  <si>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</si>
  <si>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</si>
  <si>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</si>
  <si>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</si>
  <si>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</si>
  <si>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</si>
  <si>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</si>
  <si>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</si>
  <si>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</si>
  <si>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</si>
  <si>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</si>
  <si>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</si>
  <si>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</si>
  <si>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</si>
  <si>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</si>
  <si>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</si>
  <si>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</si>
  <si>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</si>
  <si>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</si>
  <si>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</si>
  <si>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</si>
  <si>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</si>
  <si>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</si>
  <si>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</si>
  <si>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</si>
  <si>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</si>
  <si>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</si>
  <si>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</si>
  <si>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</si>
  <si>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</si>
  <si>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</si>
  <si>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</si>
  <si>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</si>
  <si>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</si>
  <si>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</si>
  <si>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</si>
  <si>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</si>
  <si>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</si>
  <si>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</si>
  <si>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</si>
  <si>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</si>
  <si>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BM</t>
  </si>
  <si>
    <t>BABY_MONITOR</t>
  </si>
  <si>
    <t>Baby monitor input/output</t>
  </si>
  <si>
    <t>MUX</t>
  </si>
  <si>
    <t>D:\work\gitlab\fw-bm03-tester\Documents\txts\Bm03Tester_Define.txt</t>
  </si>
  <si>
    <t>D:\work\gitlab\fw-bm03-tester\Documents\txts\Bm03Tester_Storage.txt</t>
  </si>
  <si>
    <t>D:\work\gitlab\fw-bm03-tester\Documents\txts\Bm03Tester_Factory.txt</t>
  </si>
  <si>
    <t>D:\work\gitlab\fw-bm03-tester\Documents\txts\reg_map.c</t>
  </si>
  <si>
    <t>D:\work\gitlab\fw-bm03-tester\Documents\txts\Bm03Tester_registers.json</t>
  </si>
  <si>
    <t>D:\work\gitlab\fw-bm03-tester\Documents\txts\Bm03TesterRegs.py</t>
  </si>
  <si>
    <t>D:\work\gitlab\fw-bm03-tester\Documents\txts\Bm03Tester_Modbus.json</t>
  </si>
  <si>
    <t>Error code</t>
  </si>
  <si>
    <t>Set calibration resistance values to all channels.
Value 0 - calibration disabled</t>
  </si>
  <si>
    <t>D:\work\gitlab\fw-bm03-tester\Documents\txts\Bm03Tester_Registers.json</t>
  </si>
  <si>
    <t>MUX_DEFAULT</t>
  </si>
  <si>
    <t>Multiplexer select</t>
  </si>
  <si>
    <t>Default multiplexer</t>
  </si>
  <si>
    <t>PADS</t>
  </si>
  <si>
    <t>Number of pads</t>
  </si>
  <si>
    <t>SIGNAL_PERIOD</t>
  </si>
  <si>
    <t>Signal period</t>
  </si>
  <si>
    <t>SIGNAL_BASE</t>
  </si>
  <si>
    <t>SIGNAL_AMPLITUDE</t>
  </si>
  <si>
    <t>Signal DC value</t>
  </si>
  <si>
    <t>Signal AC amplitude</t>
  </si>
  <si>
    <t>ms</t>
  </si>
  <si>
    <t>mV</t>
  </si>
  <si>
    <t>PAD_MODE</t>
  </si>
  <si>
    <t>Pad mode</t>
  </si>
  <si>
    <t>LAST_CU_SN_WRITE_INDEX</t>
  </si>
  <si>
    <t>CU_SN_INDEX0</t>
  </si>
  <si>
    <t>CU_SN_INDEX1</t>
  </si>
  <si>
    <t>CU_SN_INDEX2</t>
  </si>
  <si>
    <t>CU_SN_INDEX3</t>
  </si>
  <si>
    <t>CU_SN_INDEX4</t>
  </si>
  <si>
    <t>CU_SN_INDEX5</t>
  </si>
  <si>
    <t>CU_SN_INDEX6</t>
  </si>
  <si>
    <t>CU_SN_INDEX7</t>
  </si>
  <si>
    <t>CU_SN_INDEX8</t>
  </si>
  <si>
    <t>CU_SN_INDEX9</t>
  </si>
  <si>
    <t>PAD</t>
  </si>
  <si>
    <t>PAD_MEMORY</t>
  </si>
  <si>
    <t xml:space="preserve">Content of pad EEPROM </t>
  </si>
  <si>
    <t>TIU_STANDBY</t>
  </si>
  <si>
    <t>TIU_ACTIVE</t>
  </si>
  <si>
    <t>KID_PLACEMENT_NOTIF_CNT</t>
  </si>
  <si>
    <t>ACTIVE_MODE_CNT</t>
  </si>
  <si>
    <t>CONN_CNT</t>
  </si>
  <si>
    <t>ALARM_CNT</t>
  </si>
  <si>
    <t>Serial number of PAD</t>
  </si>
  <si>
    <t>Index of last written CU SN</t>
  </si>
  <si>
    <t>Control unit serial number 0</t>
  </si>
  <si>
    <t>Control unit serial number 1</t>
  </si>
  <si>
    <t>Control unit serial number 2</t>
  </si>
  <si>
    <t>Control unit serial number 3</t>
  </si>
  <si>
    <t>Control unit serial number 4</t>
  </si>
  <si>
    <t>Control unit serial number 5</t>
  </si>
  <si>
    <t>Control unit serial number 6</t>
  </si>
  <si>
    <t>Control unit serial number 7</t>
  </si>
  <si>
    <t>Control unit serial number 8</t>
  </si>
  <si>
    <t>Control unit serial number 9</t>
  </si>
  <si>
    <t>Time-in-use in standby mode</t>
  </si>
  <si>
    <t>Time-in-use in active mode</t>
  </si>
  <si>
    <t>Number of kid placement notifications</t>
  </si>
  <si>
    <t>Number of active mode activation</t>
  </si>
  <si>
    <t>Number of pad connections</t>
  </si>
  <si>
    <t>Number of alarms</t>
  </si>
  <si>
    <t>SELECT</t>
  </si>
  <si>
    <t>PAD_COM_IDLE</t>
  </si>
  <si>
    <t>PAD_COM_READ</t>
  </si>
  <si>
    <t>PAD_COM_WRITE</t>
  </si>
  <si>
    <t>Command for selected PAD memory</t>
  </si>
  <si>
    <t>Idle state</t>
  </si>
  <si>
    <t>Write memory</t>
  </si>
  <si>
    <t>Read memory</t>
  </si>
  <si>
    <t>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</si>
</sst>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9"/>
  <sheetViews>
    <sheetView tabSelected="1" zoomScaleNormal="100" workbookViewId="0">
      <selection activeCell="M13" sqref="M13"/>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211</v>
      </c>
      <c r="T3" s="31"/>
    </row>
    <row r="4" spans="1:26" ht="24.95" customHeight="1" x14ac:dyDescent="0.25">
      <c r="D4" s="31" t="s">
        <v>18</v>
      </c>
      <c r="E4" s="31"/>
      <c r="F4" s="31" t="s">
        <v>113</v>
      </c>
      <c r="J4" s="3" t="s">
        <v>1</v>
      </c>
      <c r="K4" s="9" t="s">
        <v>5</v>
      </c>
      <c r="L4" s="8" t="s">
        <v>208</v>
      </c>
      <c r="M4" s="11"/>
      <c r="U4" s="12" t="s">
        <v>1</v>
      </c>
      <c r="Z4" s="10"/>
    </row>
    <row r="5" spans="1:26" ht="24.95" customHeight="1" x14ac:dyDescent="0.25">
      <c r="D5" s="31" t="s">
        <v>19</v>
      </c>
      <c r="E5" s="31"/>
      <c r="F5" s="31" t="s">
        <v>20</v>
      </c>
      <c r="J5" s="3" t="s">
        <v>1</v>
      </c>
      <c r="K5" s="9" t="s">
        <v>100</v>
      </c>
      <c r="L5" s="8" t="s">
        <v>217</v>
      </c>
      <c r="M5" s="11"/>
      <c r="U5" s="12" t="s">
        <v>1</v>
      </c>
      <c r="Z5" s="10"/>
    </row>
    <row r="6" spans="1:26" ht="24.95" customHeight="1" x14ac:dyDescent="0.25">
      <c r="D6" s="31" t="s">
        <v>63</v>
      </c>
      <c r="E6" s="13"/>
      <c r="F6" s="32">
        <v>1</v>
      </c>
      <c r="J6" s="3" t="s">
        <v>1</v>
      </c>
      <c r="K6" s="9" t="s">
        <v>17</v>
      </c>
      <c r="L6" s="8" t="s">
        <v>209</v>
      </c>
      <c r="M6" s="11"/>
      <c r="U6" s="12" t="s">
        <v>1</v>
      </c>
      <c r="Z6" s="10"/>
    </row>
    <row r="7" spans="1:26" ht="24.95" customHeight="1" x14ac:dyDescent="0.25">
      <c r="D7" s="31" t="s">
        <v>143</v>
      </c>
      <c r="E7" s="13"/>
      <c r="F7" s="31" t="str">
        <f>GetWorkName()</f>
        <v>Bm03Tester</v>
      </c>
      <c r="J7" s="3" t="s">
        <v>1</v>
      </c>
      <c r="K7" s="9" t="s">
        <v>21</v>
      </c>
      <c r="L7" s="8" t="s">
        <v>210</v>
      </c>
      <c r="M7" s="11"/>
      <c r="U7" s="12" t="s">
        <v>1</v>
      </c>
      <c r="Z7" s="10"/>
    </row>
    <row r="8" spans="1:26" ht="24.95" customHeight="1" x14ac:dyDescent="0.25">
      <c r="D8" s="31" t="s">
        <v>117</v>
      </c>
      <c r="E8" s="13"/>
      <c r="F8" s="31" t="str">
        <f>GetPath()&amp;"\..\Firmware\bm03_tester_app\Core\Common\"</f>
        <v>D:\work\gitlab\fw-bm03-tester\Documents\..\Firmware\bm03_tester_app\Core\Common\</v>
      </c>
      <c r="J8" s="3" t="s">
        <v>1</v>
      </c>
      <c r="K8" s="9" t="s">
        <v>145</v>
      </c>
      <c r="L8" s="8" t="s">
        <v>214</v>
      </c>
      <c r="M8" s="11"/>
      <c r="U8" s="12" t="s">
        <v>1</v>
      </c>
      <c r="Z8" s="10"/>
    </row>
    <row r="9" spans="1:26" ht="24.95" customHeight="1" x14ac:dyDescent="0.25">
      <c r="D9" s="31" t="s">
        <v>148</v>
      </c>
      <c r="E9" s="13"/>
      <c r="F9" s="31"/>
      <c r="J9" s="3"/>
      <c r="K9" s="9" t="s">
        <v>1</v>
      </c>
      <c r="L9" s="8" t="s">
        <v>213</v>
      </c>
      <c r="M9" s="11"/>
      <c r="Z9" s="10"/>
    </row>
    <row r="10" spans="1:26" ht="24.95" customHeight="1" x14ac:dyDescent="0.25">
      <c r="D10" s="31" t="s">
        <v>153</v>
      </c>
      <c r="E10" s="13"/>
      <c r="F10" s="31" t="str">
        <f>GetPath()&amp;"\..\Tests\bm03_tester\"</f>
        <v>D:\work\gitlab\fw-bm03-tester\Documents\..\Tests\bm03_tester\</v>
      </c>
      <c r="K10" s="9" t="s">
        <v>154</v>
      </c>
      <c r="L10" s="8" t="s">
        <v>212</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4"/>
      <c r="B16" s="54"/>
      <c r="C16" s="53"/>
      <c r="D16" s="43" t="s">
        <v>8</v>
      </c>
      <c r="E16" s="56" t="s">
        <v>33</v>
      </c>
      <c r="F16" s="45" t="s">
        <v>10</v>
      </c>
      <c r="G16" s="45" t="s">
        <v>39</v>
      </c>
      <c r="H16" s="45" t="s">
        <v>11</v>
      </c>
      <c r="I16" s="43" t="s">
        <v>0</v>
      </c>
      <c r="J16" s="45" t="s">
        <v>13</v>
      </c>
      <c r="K16" s="43" t="s">
        <v>16</v>
      </c>
      <c r="L16" s="43" t="s">
        <v>2</v>
      </c>
      <c r="M16" s="50" t="s">
        <v>134</v>
      </c>
      <c r="N16" s="45" t="s">
        <v>14</v>
      </c>
      <c r="O16" s="47" t="s">
        <v>118</v>
      </c>
      <c r="P16" s="47" t="s">
        <v>119</v>
      </c>
      <c r="Q16" s="47" t="s">
        <v>123</v>
      </c>
      <c r="R16" s="47" t="s">
        <v>149</v>
      </c>
      <c r="S16" s="49" t="s">
        <v>101</v>
      </c>
      <c r="T16" s="41" t="s">
        <v>4</v>
      </c>
    </row>
    <row r="17" spans="1:20" ht="15" customHeight="1" x14ac:dyDescent="0.25">
      <c r="A17" s="55"/>
      <c r="B17" s="55"/>
      <c r="C17" s="53"/>
      <c r="D17" s="44"/>
      <c r="E17" s="42"/>
      <c r="F17" s="46"/>
      <c r="G17" s="46"/>
      <c r="H17" s="46"/>
      <c r="I17" s="44"/>
      <c r="J17" s="46"/>
      <c r="K17" s="44"/>
      <c r="L17" s="44"/>
      <c r="M17" s="51"/>
      <c r="N17" s="44"/>
      <c r="O17" s="48"/>
      <c r="P17" s="48"/>
      <c r="Q17" s="52"/>
      <c r="R17" s="52"/>
      <c r="S17" s="48"/>
      <c r="T17" s="42"/>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0"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215</v>
      </c>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0" x14ac:dyDescent="0.25">
      <c r="D42" s="15"/>
      <c r="E42" s="2"/>
      <c r="F42" s="5"/>
      <c r="G42" s="5"/>
      <c r="H42" s="18"/>
      <c r="I42" s="14"/>
      <c r="J42" s="14"/>
      <c r="K42" s="10"/>
      <c r="L42" s="3"/>
      <c r="M42"/>
      <c r="R42" s="29"/>
      <c r="T42"/>
    </row>
    <row r="44" spans="1:20" s="34" customFormat="1" x14ac:dyDescent="0.25">
      <c r="D44" s="40"/>
      <c r="F44" s="29"/>
      <c r="G44" s="29"/>
      <c r="H44" s="29"/>
      <c r="I44" s="29"/>
      <c r="J44" s="29"/>
      <c r="K44" s="10"/>
      <c r="L44" s="29"/>
      <c r="N44" s="29"/>
      <c r="O44" s="29"/>
      <c r="P44" s="29"/>
      <c r="Q44" s="29"/>
      <c r="R44" s="29"/>
      <c r="S44" s="29"/>
      <c r="T44"/>
    </row>
    <row r="45" spans="1:20" s="34" customFormat="1" x14ac:dyDescent="0.25">
      <c r="D45" s="40"/>
      <c r="E45" s="2" t="s">
        <v>201</v>
      </c>
      <c r="F45" s="3" t="s">
        <v>182</v>
      </c>
      <c r="G45" s="5" t="s">
        <v>48</v>
      </c>
      <c r="H45" s="18" t="s">
        <v>50</v>
      </c>
      <c r="I45" s="33">
        <v>0</v>
      </c>
      <c r="J45" s="29">
        <v>2</v>
      </c>
      <c r="K45" s="10" t="str">
        <f xml:space="preserve"> IFERROR("0x" &amp; DEC2HEX(VLOOKUP(F45,Common!$C$10:$D$34,2,FALSE),2) &amp; DEC2HEX(I45,3) &amp; DEC2HEX(VLOOKUP(G45,Common!$C$51:$D$55,2,FALSE),1) &amp; DEC2HEX(1+2*VLOOKUP(H45,Common!$C$69:$D$72,2,FALSE),1) &amp; DEC2HEX(IFERROR(LOG(J45,2),0),1),0)</f>
        <v>0x04000151</v>
      </c>
      <c r="L45" s="29" t="str">
        <f>IF(AND(LEN(E45)&lt;&gt;0,S45=""),F45&amp;"_"&amp;UPPER(E45),"")</f>
        <v>CALIB_MODE</v>
      </c>
      <c r="M45" t="s">
        <v>202</v>
      </c>
      <c r="N45" s="29">
        <v>0</v>
      </c>
      <c r="O45" s="29">
        <v>0</v>
      </c>
      <c r="P45" s="29">
        <v>24</v>
      </c>
      <c r="Q45" s="29"/>
      <c r="R45" s="29"/>
      <c r="S45" s="3"/>
      <c r="T45" t="s">
        <v>216</v>
      </c>
    </row>
    <row r="46" spans="1:20" s="34" customFormat="1" x14ac:dyDescent="0.25">
      <c r="D46" s="40"/>
      <c r="E46" s="2" t="s">
        <v>195</v>
      </c>
      <c r="F46" s="3" t="s">
        <v>182</v>
      </c>
      <c r="G46" s="5" t="s">
        <v>48</v>
      </c>
      <c r="H46" s="18" t="s">
        <v>50</v>
      </c>
      <c r="I46" s="33">
        <f xml:space="preserve"> I45+J45</f>
        <v>2</v>
      </c>
      <c r="J46" s="29">
        <v>2</v>
      </c>
      <c r="K46" s="10" t="str">
        <f xml:space="preserve"> IFERROR("0x" &amp; DEC2HEX(VLOOKUP(F46,Common!$C$10:$D$34,2,FALSE),2) &amp; DEC2HEX(I46,3) &amp; DEC2HEX(VLOOKUP(G46,Common!$C$51:$D$55,2,FALSE),1) &amp; DEC2HEX(1+2*VLOOKUP(H46,Common!$C$69:$D$72,2,FALSE),1) &amp; DEC2HEX(IFERROR(LOG(J46,2),0),1),0)</f>
        <v>0x04002151</v>
      </c>
      <c r="L46" s="29" t="str">
        <f t="shared" ref="L46" si="2">IF(AND(LEN(E46)&lt;&gt;0,S46=""),F46&amp;"_"&amp;UPPER(E46),"")</f>
        <v>CALIB_RESERVED</v>
      </c>
      <c r="M46" t="s">
        <v>89</v>
      </c>
      <c r="N46" s="29"/>
      <c r="O46" s="29"/>
      <c r="P46" s="29"/>
      <c r="Q46" s="29"/>
      <c r="R46" s="29"/>
      <c r="S46" s="3"/>
      <c r="T46" t="s">
        <v>52</v>
      </c>
    </row>
    <row r="47" spans="1:20" s="34" customFormat="1" x14ac:dyDescent="0.25">
      <c r="D47" s="40"/>
      <c r="E47"/>
      <c r="F47" s="3"/>
      <c r="G47" s="3"/>
      <c r="H47" s="3"/>
      <c r="I47" s="33"/>
      <c r="J47" s="3"/>
      <c r="K47" s="10"/>
      <c r="L47" s="29"/>
      <c r="M47"/>
      <c r="N47" s="29"/>
      <c r="O47" s="29"/>
      <c r="P47" s="29"/>
      <c r="Q47" s="3"/>
      <c r="R47" s="3"/>
      <c r="T47"/>
    </row>
    <row r="48" spans="1:20" s="34" customFormat="1" x14ac:dyDescent="0.25">
      <c r="D48" s="40"/>
      <c r="E48"/>
      <c r="F48" s="3"/>
      <c r="G48" s="3"/>
      <c r="H48" s="3"/>
      <c r="I48" s="33"/>
      <c r="J48" s="3"/>
      <c r="K48" s="10"/>
      <c r="L48" s="29"/>
      <c r="M48"/>
      <c r="N48" s="29"/>
      <c r="O48" s="29"/>
      <c r="P48" s="29"/>
      <c r="Q48" s="3"/>
      <c r="R48" s="3"/>
      <c r="T48"/>
    </row>
    <row r="49" spans="1:35" s="10" customFormat="1" x14ac:dyDescent="0.25">
      <c r="A49" s="12"/>
      <c r="B49" s="12"/>
      <c r="C49" s="12"/>
      <c r="D49"/>
      <c r="E49" s="24"/>
      <c r="F49" s="23"/>
      <c r="G49" s="23"/>
      <c r="H49" s="26"/>
      <c r="I49" s="22"/>
      <c r="J49" s="22"/>
      <c r="L49" s="22"/>
      <c r="M49" s="21"/>
      <c r="N49" s="22"/>
      <c r="O49" s="22"/>
      <c r="P49" s="22"/>
      <c r="Q49" s="22"/>
      <c r="R49" s="28"/>
      <c r="S49" s="22"/>
      <c r="T49" s="21"/>
      <c r="U49"/>
      <c r="V49"/>
      <c r="W49"/>
      <c r="X49"/>
      <c r="Y49"/>
      <c r="Z49" s="12"/>
      <c r="AA49" s="12"/>
      <c r="AB49" s="12"/>
      <c r="AC49" s="12"/>
      <c r="AD49" s="12"/>
      <c r="AE49" s="12"/>
      <c r="AF49" s="12"/>
      <c r="AG49" s="12"/>
      <c r="AH49" s="12"/>
      <c r="AI49" s="12"/>
    </row>
    <row r="50" spans="1:35" s="34" customFormat="1" x14ac:dyDescent="0.25">
      <c r="D50" s="40"/>
      <c r="E50" t="s">
        <v>207</v>
      </c>
      <c r="F50" s="3" t="s">
        <v>204</v>
      </c>
      <c r="G50" s="3" t="s">
        <v>48</v>
      </c>
      <c r="H50" s="3" t="s">
        <v>50</v>
      </c>
      <c r="I50" s="33">
        <f xml:space="preserve"> I49+J49</f>
        <v>0</v>
      </c>
      <c r="J50" s="29">
        <v>1</v>
      </c>
      <c r="K50" s="10" t="str">
        <f xml:space="preserve"> IFERROR("0x" &amp; DEC2HEX(VLOOKUP(F50,Common!$C$10:$D$34,2,FALSE),2) &amp; DEC2HEX(I50,3) &amp; DEC2HEX(VLOOKUP(G50,Common!$C$51:$D$55,2,FALSE),1) &amp; DEC2HEX(1+2*VLOOKUP(H50,Common!$C$69:$D$72,2,FALSE),1) &amp; DEC2HEX(IFERROR(LOG(J50,2),0),1),0)</f>
        <v>0x05000150</v>
      </c>
      <c r="L50" s="29" t="str">
        <f t="shared" ref="L50:L51" si="3">IF(AND(LEN(E50)&lt;&gt;0,S50=""),F50&amp;"_"&amp;UPPER(E50),"")</f>
        <v>BM_MUX</v>
      </c>
      <c r="M50" t="s">
        <v>219</v>
      </c>
      <c r="N50" s="29">
        <v>0</v>
      </c>
      <c r="O50" s="29">
        <v>0</v>
      </c>
      <c r="P50" s="29">
        <v>8</v>
      </c>
      <c r="Q50" s="29"/>
      <c r="R50" s="3"/>
      <c r="T50"/>
    </row>
    <row r="51" spans="1:35" s="34" customFormat="1" x14ac:dyDescent="0.25">
      <c r="D51" s="40"/>
      <c r="E51" t="s">
        <v>218</v>
      </c>
      <c r="F51" s="3" t="s">
        <v>204</v>
      </c>
      <c r="G51" s="3" t="s">
        <v>48</v>
      </c>
      <c r="H51" s="3" t="s">
        <v>47</v>
      </c>
      <c r="I51" s="33">
        <f xml:space="preserve"> I50+J50</f>
        <v>1</v>
      </c>
      <c r="J51" s="29">
        <v>1</v>
      </c>
      <c r="K51" s="10" t="str">
        <f xml:space="preserve"> IFERROR("0x" &amp; DEC2HEX(VLOOKUP(F51,Common!$C$10:$D$34,2,FALSE),2) &amp; DEC2HEX(I51,3) &amp; DEC2HEX(VLOOKUP(G51,Common!$C$51:$D$55,2,FALSE),1) &amp; DEC2HEX(1+2*VLOOKUP(H51,Common!$C$69:$D$72,2,FALSE),1) &amp; DEC2HEX(IFERROR(LOG(J51,2),0),1),0)</f>
        <v>0x05001170</v>
      </c>
      <c r="L51" s="29" t="str">
        <f t="shared" si="3"/>
        <v>BM_MUX_DEFAULT</v>
      </c>
      <c r="M51" t="s">
        <v>220</v>
      </c>
      <c r="N51" s="29">
        <v>0</v>
      </c>
      <c r="O51" s="29">
        <v>0</v>
      </c>
      <c r="P51" s="29">
        <v>8</v>
      </c>
      <c r="Q51" s="29"/>
      <c r="R51" s="3"/>
      <c r="T51"/>
    </row>
    <row r="52" spans="1:35" s="34" customFormat="1" x14ac:dyDescent="0.25">
      <c r="D52" s="40"/>
      <c r="E52" t="s">
        <v>221</v>
      </c>
      <c r="F52" s="3" t="s">
        <v>204</v>
      </c>
      <c r="G52" s="3" t="s">
        <v>48</v>
      </c>
      <c r="H52" s="3" t="s">
        <v>50</v>
      </c>
      <c r="I52" s="33">
        <f t="shared" ref="I52:I56" si="4" xml:space="preserve"> I51+J51</f>
        <v>2</v>
      </c>
      <c r="J52" s="29">
        <v>1</v>
      </c>
      <c r="K52" s="10" t="str">
        <f xml:space="preserve"> IFERROR("0x" &amp; DEC2HEX(VLOOKUP(F52,Common!$C$10:$D$34,2,FALSE),2) &amp; DEC2HEX(I52,3) &amp; DEC2HEX(VLOOKUP(G52,Common!$C$51:$D$55,2,FALSE),1) &amp; DEC2HEX(1+2*VLOOKUP(H52,Common!$C$69:$D$72,2,FALSE),1) &amp; DEC2HEX(IFERROR(LOG(J52,2),0),1),0)</f>
        <v>0x05002150</v>
      </c>
      <c r="L52" s="29" t="str">
        <f t="shared" ref="L52:L56" si="5">IF(AND(LEN(E52)&lt;&gt;0,S52=""),F52&amp;"_"&amp;UPPER(E52),"")</f>
        <v>BM_PADS</v>
      </c>
      <c r="M52" t="s">
        <v>222</v>
      </c>
      <c r="N52" s="29">
        <v>0</v>
      </c>
      <c r="O52" s="29">
        <v>0</v>
      </c>
      <c r="P52" s="29">
        <v>8</v>
      </c>
      <c r="Q52" s="29"/>
      <c r="R52" s="29"/>
      <c r="T52"/>
    </row>
    <row r="53" spans="1:35" s="34" customFormat="1" x14ac:dyDescent="0.25">
      <c r="D53" s="40"/>
      <c r="E53" t="s">
        <v>231</v>
      </c>
      <c r="F53" s="3" t="s">
        <v>204</v>
      </c>
      <c r="G53" s="3" t="s">
        <v>48</v>
      </c>
      <c r="H53" s="3" t="s">
        <v>50</v>
      </c>
      <c r="I53" s="33">
        <f t="shared" si="4"/>
        <v>3</v>
      </c>
      <c r="J53" s="29">
        <v>1</v>
      </c>
      <c r="K53" s="10" t="str">
        <f xml:space="preserve"> IFERROR("0x" &amp; DEC2HEX(VLOOKUP(F53,Common!$C$10:$D$34,2,FALSE),2) &amp; DEC2HEX(I53,3) &amp; DEC2HEX(VLOOKUP(G53,Common!$C$51:$D$55,2,FALSE),1) &amp; DEC2HEX(1+2*VLOOKUP(H53,Common!$C$69:$D$72,2,FALSE),1) &amp; DEC2HEX(IFERROR(LOG(J53,2),0),1),0)</f>
        <v>0x05003150</v>
      </c>
      <c r="L53" s="29" t="str">
        <f t="shared" si="5"/>
        <v>BM_PAD_MODE</v>
      </c>
      <c r="M53" t="s">
        <v>232</v>
      </c>
      <c r="N53" s="29">
        <v>1</v>
      </c>
      <c r="O53" s="29">
        <v>0</v>
      </c>
      <c r="P53" s="29">
        <v>1</v>
      </c>
      <c r="Q53" s="29"/>
      <c r="R53" s="29"/>
      <c r="T53"/>
    </row>
    <row r="54" spans="1:35" s="34" customFormat="1" x14ac:dyDescent="0.25">
      <c r="D54" s="40"/>
      <c r="E54" t="s">
        <v>223</v>
      </c>
      <c r="F54" s="3" t="s">
        <v>204</v>
      </c>
      <c r="G54" s="3" t="s">
        <v>48</v>
      </c>
      <c r="H54" s="3" t="s">
        <v>50</v>
      </c>
      <c r="I54" s="33">
        <f t="shared" si="4"/>
        <v>4</v>
      </c>
      <c r="J54" s="29">
        <v>2</v>
      </c>
      <c r="K54" s="10" t="str">
        <f xml:space="preserve"> IFERROR("0x" &amp; DEC2HEX(VLOOKUP(F54,Common!$C$10:$D$34,2,FALSE),2) &amp; DEC2HEX(I54,3) &amp; DEC2HEX(VLOOKUP(G54,Common!$C$51:$D$55,2,FALSE),1) &amp; DEC2HEX(1+2*VLOOKUP(H54,Common!$C$69:$D$72,2,FALSE),1) &amp; DEC2HEX(IFERROR(LOG(J54,2),0),1),0)</f>
        <v>0x05004151</v>
      </c>
      <c r="L54" s="29" t="str">
        <f t="shared" si="5"/>
        <v>BM_SIGNAL_PERIOD</v>
      </c>
      <c r="M54" t="s">
        <v>224</v>
      </c>
      <c r="N54" s="29">
        <v>2000</v>
      </c>
      <c r="O54" s="29">
        <v>500</v>
      </c>
      <c r="P54" s="29">
        <v>10000</v>
      </c>
      <c r="Q54" s="29" t="s">
        <v>229</v>
      </c>
      <c r="R54" s="29"/>
      <c r="T54"/>
    </row>
    <row r="55" spans="1:35" s="34" customFormat="1" x14ac:dyDescent="0.25">
      <c r="D55" s="40"/>
      <c r="E55" t="s">
        <v>225</v>
      </c>
      <c r="F55" s="3" t="s">
        <v>204</v>
      </c>
      <c r="G55" s="3" t="s">
        <v>48</v>
      </c>
      <c r="H55" s="3" t="s">
        <v>50</v>
      </c>
      <c r="I55" s="33">
        <f t="shared" si="4"/>
        <v>6</v>
      </c>
      <c r="J55" s="29">
        <v>2</v>
      </c>
      <c r="K55" s="10" t="str">
        <f xml:space="preserve"> IFERROR("0x" &amp; DEC2HEX(VLOOKUP(F55,Common!$C$10:$D$34,2,FALSE),2) &amp; DEC2HEX(I55,3) &amp; DEC2HEX(VLOOKUP(G55,Common!$C$51:$D$55,2,FALSE),1) &amp; DEC2HEX(1+2*VLOOKUP(H55,Common!$C$69:$D$72,2,FALSE),1) &amp; DEC2HEX(IFERROR(LOG(J55,2),0),1),0)</f>
        <v>0x05006151</v>
      </c>
      <c r="L55" s="29" t="str">
        <f t="shared" si="5"/>
        <v>BM_SIGNAL_BASE</v>
      </c>
      <c r="M55" t="s">
        <v>227</v>
      </c>
      <c r="N55" s="29">
        <v>1750</v>
      </c>
      <c r="O55" s="29">
        <v>0</v>
      </c>
      <c r="P55" s="29">
        <v>3300</v>
      </c>
      <c r="Q55" s="29" t="s">
        <v>230</v>
      </c>
      <c r="R55" s="3"/>
      <c r="T55"/>
    </row>
    <row r="56" spans="1:35" s="34" customFormat="1" x14ac:dyDescent="0.25">
      <c r="D56" s="40"/>
      <c r="E56" t="s">
        <v>226</v>
      </c>
      <c r="F56" s="3" t="s">
        <v>204</v>
      </c>
      <c r="G56" s="3" t="s">
        <v>48</v>
      </c>
      <c r="H56" s="3" t="s">
        <v>50</v>
      </c>
      <c r="I56" s="33">
        <f t="shared" si="4"/>
        <v>8</v>
      </c>
      <c r="J56" s="29">
        <v>2</v>
      </c>
      <c r="K56" s="10" t="str">
        <f xml:space="preserve"> IFERROR("0x" &amp; DEC2HEX(VLOOKUP(F56,Common!$C$10:$D$34,2,FALSE),2) &amp; DEC2HEX(I56,3) &amp; DEC2HEX(VLOOKUP(G56,Common!$C$51:$D$55,2,FALSE),1) &amp; DEC2HEX(1+2*VLOOKUP(H56,Common!$C$69:$D$72,2,FALSE),1) &amp; DEC2HEX(IFERROR(LOG(J56,2),0),1),0)</f>
        <v>0x05008151</v>
      </c>
      <c r="L56" s="29" t="str">
        <f t="shared" si="5"/>
        <v>BM_SIGNAL_AMPLITUDE</v>
      </c>
      <c r="M56" s="34" t="s">
        <v>228</v>
      </c>
      <c r="N56" s="29">
        <v>50</v>
      </c>
      <c r="O56" s="29">
        <v>0</v>
      </c>
      <c r="P56" s="29">
        <v>1500</v>
      </c>
      <c r="Q56" s="29" t="s">
        <v>230</v>
      </c>
      <c r="R56" s="29"/>
      <c r="S56" s="29"/>
      <c r="T56"/>
    </row>
    <row r="57" spans="1:35" s="34" customFormat="1" x14ac:dyDescent="0.25">
      <c r="D57" s="40"/>
      <c r="E57"/>
      <c r="F57" s="3"/>
      <c r="G57" s="3"/>
      <c r="H57" s="3"/>
      <c r="I57" s="33"/>
      <c r="J57" s="29"/>
      <c r="K57" s="10"/>
      <c r="L57" s="29"/>
      <c r="M57"/>
      <c r="N57" s="29"/>
      <c r="O57" s="29"/>
      <c r="P57" s="29"/>
      <c r="Q57" s="3"/>
      <c r="R57" s="29"/>
      <c r="S57" s="29"/>
      <c r="T57"/>
    </row>
    <row r="58" spans="1:35" s="34" customFormat="1" x14ac:dyDescent="0.25">
      <c r="D58" s="40"/>
      <c r="E58"/>
      <c r="F58" s="3"/>
      <c r="G58" s="3"/>
      <c r="H58" s="3"/>
      <c r="I58" s="33"/>
      <c r="J58" s="29"/>
      <c r="K58" s="10"/>
      <c r="L58" s="29"/>
      <c r="M58"/>
      <c r="N58" s="29"/>
      <c r="O58" s="29"/>
      <c r="P58" s="29"/>
      <c r="Q58" s="3"/>
      <c r="R58" s="29"/>
      <c r="T58"/>
    </row>
    <row r="59" spans="1:35" s="34" customFormat="1" x14ac:dyDescent="0.25">
      <c r="D59" s="40"/>
      <c r="E59"/>
      <c r="F59" s="3"/>
      <c r="G59" s="3"/>
      <c r="H59" s="3"/>
      <c r="I59" s="33"/>
      <c r="J59" s="29"/>
      <c r="K59" s="10"/>
      <c r="L59" s="29"/>
      <c r="M59"/>
      <c r="N59" s="29"/>
      <c r="O59" s="3"/>
      <c r="P59" s="29"/>
      <c r="Q59" s="3"/>
      <c r="R59" s="3"/>
      <c r="T59"/>
    </row>
    <row r="60" spans="1:35" s="34" customFormat="1" x14ac:dyDescent="0.25">
      <c r="D60" s="40"/>
      <c r="E60"/>
      <c r="F60" s="3"/>
      <c r="G60" s="3"/>
      <c r="H60" s="3"/>
      <c r="I60" s="33"/>
      <c r="K60" s="10"/>
      <c r="L60" s="29"/>
      <c r="M60"/>
      <c r="N60" s="29"/>
      <c r="O60" s="3"/>
      <c r="P60" s="29"/>
      <c r="Q60" s="3"/>
      <c r="R60" s="3"/>
      <c r="T60"/>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196</v>
      </c>
      <c r="F63" s="3" t="s">
        <v>197</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198</v>
      </c>
      <c r="N63" s="29"/>
      <c r="O63" s="29">
        <v>0</v>
      </c>
      <c r="P63" s="29">
        <v>1000000</v>
      </c>
      <c r="Q63" s="3" t="s">
        <v>199</v>
      </c>
      <c r="R63" s="29"/>
      <c r="S63" s="29"/>
      <c r="T63" t="s">
        <v>200</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t="s">
        <v>165</v>
      </c>
      <c r="F66" s="23" t="s">
        <v>244</v>
      </c>
      <c r="G66" s="23" t="s">
        <v>114</v>
      </c>
      <c r="H66" s="26" t="s">
        <v>50</v>
      </c>
      <c r="I66" s="28">
        <f t="shared" ref="I66:I72" si="6">I65+J65</f>
        <v>0</v>
      </c>
      <c r="J66" s="22">
        <v>1</v>
      </c>
      <c r="K66" s="10" t="str">
        <f xml:space="preserve"> IFERROR("0x" &amp; DEC2HEX(VLOOKUP(F66,Common!$C$10:$D$34,2,FALSE),2) &amp; DEC2HEX(I66,3) &amp; DEC2HEX(VLOOKUP(G66,Common!$C$51:$D$55,2,FALSE),1) &amp; DEC2HEX(1+2*VLOOKUP(H66,Common!$C$69:$D$72,2,FALSE),1) &amp; DEC2HEX(IFERROR(LOG(J66,2),0),1),0)</f>
        <v>0x07000550</v>
      </c>
      <c r="L66" s="29" t="str">
        <f>IF(AND(LEN(E66)&lt;&gt;0,S104=""),F66&amp;"_"&amp;UPPER(E66),"")</f>
        <v>PAD_COMMAND</v>
      </c>
      <c r="M66" s="21" t="s">
        <v>275</v>
      </c>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4"/>
      <c r="F67" s="23" t="s">
        <v>244</v>
      </c>
      <c r="G67" s="23"/>
      <c r="H67" s="26"/>
      <c r="I67" s="28">
        <f t="shared" si="6"/>
        <v>1</v>
      </c>
      <c r="J67" s="22"/>
      <c r="K67" s="10">
        <v>0</v>
      </c>
      <c r="L67" s="29" t="s">
        <v>272</v>
      </c>
      <c r="M67" s="21" t="s">
        <v>276</v>
      </c>
      <c r="N67" s="22"/>
      <c r="O67" s="22"/>
      <c r="P67" s="22"/>
      <c r="Q67" s="23"/>
      <c r="R67" s="23"/>
      <c r="S67" s="22"/>
      <c r="T67" s="21"/>
      <c r="U67"/>
      <c r="V67"/>
      <c r="W67"/>
      <c r="X67"/>
      <c r="Y67"/>
      <c r="Z67" s="12"/>
      <c r="AA67" s="12"/>
      <c r="AB67" s="12"/>
      <c r="AC67" s="12"/>
      <c r="AD67" s="12"/>
      <c r="AE67" s="12"/>
      <c r="AF67" s="12"/>
      <c r="AG67" s="12"/>
      <c r="AH67" s="12"/>
      <c r="AI67" s="12"/>
    </row>
    <row r="68" spans="1:35" s="10" customFormat="1" x14ac:dyDescent="0.25">
      <c r="A68" s="12"/>
      <c r="B68" s="12"/>
      <c r="C68" s="12"/>
      <c r="D68"/>
      <c r="E68" s="24"/>
      <c r="F68" s="23" t="s">
        <v>244</v>
      </c>
      <c r="G68" s="23"/>
      <c r="H68" s="26"/>
      <c r="I68" s="28">
        <f t="shared" si="6"/>
        <v>1</v>
      </c>
      <c r="J68" s="22"/>
      <c r="K68" s="10">
        <v>0</v>
      </c>
      <c r="L68" s="29" t="s">
        <v>273</v>
      </c>
      <c r="M68" s="21" t="s">
        <v>278</v>
      </c>
      <c r="N68" s="22"/>
      <c r="O68" s="22"/>
      <c r="P68" s="22"/>
      <c r="Q68" s="23"/>
      <c r="R68" s="23"/>
      <c r="S68" s="22"/>
      <c r="T68" s="21"/>
      <c r="U68"/>
      <c r="V68"/>
      <c r="W68"/>
      <c r="X68"/>
      <c r="Y68"/>
      <c r="Z68" s="12"/>
      <c r="AA68" s="12"/>
      <c r="AB68" s="12"/>
      <c r="AC68" s="12"/>
      <c r="AD68" s="12"/>
      <c r="AE68" s="12"/>
      <c r="AF68" s="12"/>
      <c r="AG68" s="12"/>
      <c r="AH68" s="12"/>
      <c r="AI68" s="12"/>
    </row>
    <row r="69" spans="1:35" s="10" customFormat="1" x14ac:dyDescent="0.25">
      <c r="A69" s="12"/>
      <c r="B69" s="12"/>
      <c r="C69" s="12"/>
      <c r="D69"/>
      <c r="E69" s="24"/>
      <c r="F69" s="23" t="s">
        <v>244</v>
      </c>
      <c r="G69" s="23"/>
      <c r="H69" s="26"/>
      <c r="I69" s="28">
        <f t="shared" si="6"/>
        <v>1</v>
      </c>
      <c r="J69" s="22"/>
      <c r="K69" s="10">
        <v>0</v>
      </c>
      <c r="L69" s="29" t="s">
        <v>274</v>
      </c>
      <c r="M69" s="21" t="s">
        <v>277</v>
      </c>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t="s">
        <v>271</v>
      </c>
      <c r="F70" s="23" t="s">
        <v>244</v>
      </c>
      <c r="G70" s="23" t="s">
        <v>48</v>
      </c>
      <c r="H70" s="26" t="s">
        <v>50</v>
      </c>
      <c r="I70" s="28">
        <f t="shared" si="6"/>
        <v>1</v>
      </c>
      <c r="J70" s="22">
        <v>1</v>
      </c>
      <c r="K70" s="10" t="str">
        <f xml:space="preserve"> IFERROR("0x" &amp; DEC2HEX(VLOOKUP(F70,Common!$C$10:$D$34,2,FALSE),2) &amp; DEC2HEX(I70,3) &amp; DEC2HEX(VLOOKUP(G70,Common!$C$51:$D$55,2,FALSE),1) &amp; DEC2HEX(1+2*VLOOKUP(H70,Common!$C$69:$D$72,2,FALSE),1) &amp; DEC2HEX(IFERROR(LOG(J70,2),0),1),0)</f>
        <v>0x07001150</v>
      </c>
      <c r="L70" s="29" t="str">
        <f t="shared" ref="L70:L71" si="7">IF(AND(LEN(E70)&lt;&gt;0,S105=""),F70&amp;"_"&amp;UPPER(E70),"")</f>
        <v>PAD_SELECT</v>
      </c>
      <c r="M70" s="21" t="s">
        <v>219</v>
      </c>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t="s">
        <v>195</v>
      </c>
      <c r="F71" s="23" t="s">
        <v>244</v>
      </c>
      <c r="G71" s="23" t="s">
        <v>48</v>
      </c>
      <c r="H71" s="26" t="s">
        <v>50</v>
      </c>
      <c r="I71" s="28">
        <f t="shared" si="6"/>
        <v>2</v>
      </c>
      <c r="J71" s="22">
        <v>2</v>
      </c>
      <c r="K71" s="10" t="str">
        <f xml:space="preserve"> IFERROR("0x" &amp; DEC2HEX(VLOOKUP(F71,Common!$C$10:$D$34,2,FALSE),2) &amp; DEC2HEX(I71,3) &amp; DEC2HEX(VLOOKUP(G71,Common!$C$51:$D$55,2,FALSE),1) &amp; DEC2HEX(1+2*VLOOKUP(H71,Common!$C$69:$D$72,2,FALSE),1) &amp; DEC2HEX(IFERROR(LOG(J71,2),0),1),0)</f>
        <v>0x07002151</v>
      </c>
      <c r="L71" s="29" t="str">
        <f t="shared" si="7"/>
        <v>PAD_RESERVED</v>
      </c>
      <c r="M71" s="21" t="s">
        <v>279</v>
      </c>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s="24" t="s">
        <v>9</v>
      </c>
      <c r="F72" s="23" t="s">
        <v>244</v>
      </c>
      <c r="G72" s="23" t="s">
        <v>48</v>
      </c>
      <c r="H72" s="26" t="s">
        <v>50</v>
      </c>
      <c r="I72" s="28">
        <f t="shared" si="6"/>
        <v>4</v>
      </c>
      <c r="J72" s="28">
        <v>4</v>
      </c>
      <c r="K72" s="10" t="str">
        <f xml:space="preserve"> IFERROR("0x" &amp; DEC2HEX(VLOOKUP(F72,Common!$C$10:$D$34,2,FALSE),2) &amp; DEC2HEX(I72,3) &amp; DEC2HEX(VLOOKUP(G72,Common!$C$51:$D$55,2,FALSE),1) &amp; DEC2HEX(1+2*VLOOKUP(H72,Common!$C$69:$D$72,2,FALSE),1) &amp; DEC2HEX(IFERROR(LOG(J72,2),0),1),0)</f>
        <v>0x07004152</v>
      </c>
      <c r="L72" s="29" t="str">
        <f t="shared" ref="L72:L85" si="8">IF(AND(LEN(E72)&lt;&gt;0,S107=""),F72&amp;"_"&amp;UPPER(E72),"")</f>
        <v>PAD_SERIAL_NUMBER</v>
      </c>
      <c r="M72" s="21" t="s">
        <v>253</v>
      </c>
      <c r="N72" s="22"/>
      <c r="O72" s="22"/>
      <c r="P72" s="22"/>
      <c r="Q72" s="23"/>
      <c r="R72" s="23"/>
      <c r="S72" s="22"/>
      <c r="T72" s="21"/>
      <c r="U72"/>
      <c r="V72"/>
      <c r="W72"/>
      <c r="X72"/>
      <c r="Y72"/>
      <c r="Z72" s="12"/>
      <c r="AA72" s="12"/>
      <c r="AB72" s="12"/>
      <c r="AC72" s="12"/>
      <c r="AD72" s="12"/>
      <c r="AE72" s="12"/>
      <c r="AF72" s="12"/>
      <c r="AG72" s="12"/>
      <c r="AH72" s="12"/>
      <c r="AI72" s="12"/>
    </row>
    <row r="73" spans="1:35" s="10" customFormat="1" x14ac:dyDescent="0.25">
      <c r="A73" s="12"/>
      <c r="B73" s="12"/>
      <c r="C73" s="12"/>
      <c r="D73"/>
      <c r="E73" s="24" t="s">
        <v>233</v>
      </c>
      <c r="F73" s="23" t="s">
        <v>244</v>
      </c>
      <c r="G73" s="23" t="s">
        <v>48</v>
      </c>
      <c r="H73" s="26" t="s">
        <v>50</v>
      </c>
      <c r="I73" s="28">
        <f>I72+J72</f>
        <v>8</v>
      </c>
      <c r="J73" s="28">
        <v>4</v>
      </c>
      <c r="K73" s="10" t="str">
        <f xml:space="preserve"> IFERROR("0x" &amp; DEC2HEX(VLOOKUP(F73,Common!$C$10:$D$34,2,FALSE),2) &amp; DEC2HEX(I73,3) &amp; DEC2HEX(VLOOKUP(G73,Common!$C$51:$D$55,2,FALSE),1) &amp; DEC2HEX(1+2*VLOOKUP(H73,Common!$C$69:$D$72,2,FALSE),1) &amp; DEC2HEX(IFERROR(LOG(J73,2),0),1),0)</f>
        <v>0x07008152</v>
      </c>
      <c r="L73" s="29" t="str">
        <f t="shared" si="8"/>
        <v>PAD_LAST_CU_SN_WRITE_INDEX</v>
      </c>
      <c r="M73" s="21" t="s">
        <v>254</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234</v>
      </c>
      <c r="F74" s="23" t="s">
        <v>244</v>
      </c>
      <c r="G74" s="23" t="s">
        <v>48</v>
      </c>
      <c r="H74" s="26" t="s">
        <v>50</v>
      </c>
      <c r="I74" s="28">
        <f t="shared" ref="I74:I89" si="9">I73+J73</f>
        <v>12</v>
      </c>
      <c r="J74" s="28">
        <v>4</v>
      </c>
      <c r="K74" s="10" t="str">
        <f xml:space="preserve"> IFERROR("0x" &amp; DEC2HEX(VLOOKUP(F74,Common!$C$10:$D$34,2,FALSE),2) &amp; DEC2HEX(I74,3) &amp; DEC2HEX(VLOOKUP(G74,Common!$C$51:$D$55,2,FALSE),1) &amp; DEC2HEX(1+2*VLOOKUP(H74,Common!$C$69:$D$72,2,FALSE),1) &amp; DEC2HEX(IFERROR(LOG(J74,2),0),1),0)</f>
        <v>0x0700C152</v>
      </c>
      <c r="L74" s="29" t="str">
        <f t="shared" si="8"/>
        <v>PAD_CU_SN_INDEX0</v>
      </c>
      <c r="M74" s="21" t="s">
        <v>255</v>
      </c>
      <c r="N74" s="22"/>
      <c r="O74" s="22"/>
      <c r="P74" s="22"/>
      <c r="Q74" s="23"/>
      <c r="R74" s="23"/>
      <c r="S74" s="22"/>
      <c r="T74" s="21"/>
      <c r="U74"/>
      <c r="V74"/>
      <c r="W74"/>
      <c r="X74"/>
      <c r="Y74"/>
      <c r="Z74" s="12"/>
      <c r="AA74" s="12"/>
      <c r="AB74" s="12"/>
      <c r="AC74" s="12"/>
      <c r="AD74" s="12"/>
      <c r="AE74" s="12"/>
      <c r="AF74" s="12"/>
      <c r="AG74" s="12"/>
      <c r="AH74" s="12"/>
      <c r="AI74" s="12"/>
    </row>
    <row r="75" spans="1:35" s="10" customFormat="1" x14ac:dyDescent="0.25">
      <c r="A75" s="12"/>
      <c r="B75" s="12"/>
      <c r="C75" s="12"/>
      <c r="D75"/>
      <c r="E75" s="24" t="s">
        <v>235</v>
      </c>
      <c r="F75" s="23" t="s">
        <v>244</v>
      </c>
      <c r="G75" s="23" t="s">
        <v>48</v>
      </c>
      <c r="H75" s="26" t="s">
        <v>50</v>
      </c>
      <c r="I75" s="28">
        <f t="shared" si="9"/>
        <v>16</v>
      </c>
      <c r="J75" s="28">
        <v>4</v>
      </c>
      <c r="K75" s="10" t="str">
        <f xml:space="preserve"> IFERROR("0x" &amp; DEC2HEX(VLOOKUP(F75,Common!$C$10:$D$34,2,FALSE),2) &amp; DEC2HEX(I75,3) &amp; DEC2HEX(VLOOKUP(G75,Common!$C$51:$D$55,2,FALSE),1) &amp; DEC2HEX(1+2*VLOOKUP(H75,Common!$C$69:$D$72,2,FALSE),1) &amp; DEC2HEX(IFERROR(LOG(J75,2),0),1),0)</f>
        <v>0x07010152</v>
      </c>
      <c r="L75" s="29" t="str">
        <f t="shared" si="8"/>
        <v>PAD_CU_SN_INDEX1</v>
      </c>
      <c r="M75" s="21" t="s">
        <v>256</v>
      </c>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236</v>
      </c>
      <c r="F76" s="23" t="s">
        <v>244</v>
      </c>
      <c r="G76" s="23" t="s">
        <v>48</v>
      </c>
      <c r="H76" s="26" t="s">
        <v>50</v>
      </c>
      <c r="I76" s="28">
        <f t="shared" si="9"/>
        <v>20</v>
      </c>
      <c r="J76" s="28">
        <v>4</v>
      </c>
      <c r="K76" s="10" t="str">
        <f xml:space="preserve"> IFERROR("0x" &amp; DEC2HEX(VLOOKUP(F76,Common!$C$10:$D$34,2,FALSE),2) &amp; DEC2HEX(I76,3) &amp; DEC2HEX(VLOOKUP(G76,Common!$C$51:$D$55,2,FALSE),1) &amp; DEC2HEX(1+2*VLOOKUP(H76,Common!$C$69:$D$72,2,FALSE),1) &amp; DEC2HEX(IFERROR(LOG(J76,2),0),1),0)</f>
        <v>0x07014152</v>
      </c>
      <c r="L76" s="29" t="str">
        <f t="shared" si="8"/>
        <v>PAD_CU_SN_INDEX2</v>
      </c>
      <c r="M76" s="21" t="s">
        <v>257</v>
      </c>
      <c r="N76" s="22"/>
      <c r="O76" s="22"/>
      <c r="P76" s="22"/>
      <c r="Q76" s="23"/>
      <c r="R76" s="23"/>
      <c r="S76" s="22"/>
      <c r="T76" s="21"/>
      <c r="U76"/>
      <c r="V76"/>
      <c r="W76"/>
      <c r="X76"/>
      <c r="Y76"/>
      <c r="Z76" s="12"/>
      <c r="AA76" s="12"/>
      <c r="AB76" s="12"/>
      <c r="AC76" s="12"/>
      <c r="AD76" s="12"/>
      <c r="AE76" s="12"/>
      <c r="AF76" s="12"/>
      <c r="AG76" s="12"/>
      <c r="AH76" s="12"/>
      <c r="AI76" s="12"/>
    </row>
    <row r="77" spans="1:35" s="10" customFormat="1" x14ac:dyDescent="0.25">
      <c r="A77" s="12"/>
      <c r="B77" s="12"/>
      <c r="C77" s="12"/>
      <c r="D77"/>
      <c r="E77" s="24" t="s">
        <v>237</v>
      </c>
      <c r="F77" s="23" t="s">
        <v>244</v>
      </c>
      <c r="G77" s="23" t="s">
        <v>48</v>
      </c>
      <c r="H77" s="26" t="s">
        <v>50</v>
      </c>
      <c r="I77" s="28">
        <f t="shared" si="9"/>
        <v>24</v>
      </c>
      <c r="J77" s="28">
        <v>4</v>
      </c>
      <c r="K77" s="10" t="str">
        <f xml:space="preserve"> IFERROR("0x" &amp; DEC2HEX(VLOOKUP(F77,Common!$C$10:$D$34,2,FALSE),2) &amp; DEC2HEX(I77,3) &amp; DEC2HEX(VLOOKUP(G77,Common!$C$51:$D$55,2,FALSE),1) &amp; DEC2HEX(1+2*VLOOKUP(H77,Common!$C$69:$D$72,2,FALSE),1) &amp; DEC2HEX(IFERROR(LOG(J77,2),0),1),0)</f>
        <v>0x07018152</v>
      </c>
      <c r="L77" s="29" t="str">
        <f t="shared" si="8"/>
        <v>PAD_CU_SN_INDEX3</v>
      </c>
      <c r="M77" s="21" t="s">
        <v>258</v>
      </c>
      <c r="N77" s="22"/>
      <c r="O77" s="22"/>
      <c r="P77" s="22"/>
      <c r="Q77" s="23"/>
      <c r="R77" s="23"/>
      <c r="S77" s="22"/>
      <c r="T77" s="21"/>
      <c r="U77"/>
      <c r="V77"/>
      <c r="W77"/>
      <c r="X77"/>
      <c r="Y77"/>
      <c r="Z77" s="12"/>
      <c r="AA77" s="12"/>
      <c r="AB77" s="12"/>
      <c r="AC77" s="12"/>
      <c r="AD77" s="12"/>
      <c r="AE77" s="12"/>
      <c r="AF77" s="12"/>
      <c r="AG77" s="12"/>
      <c r="AH77" s="12"/>
      <c r="AI77" s="12"/>
    </row>
    <row r="78" spans="1:35" s="10" customFormat="1" x14ac:dyDescent="0.25">
      <c r="A78" s="12"/>
      <c r="B78" s="12"/>
      <c r="C78" s="12"/>
      <c r="D78"/>
      <c r="E78" s="24" t="s">
        <v>238</v>
      </c>
      <c r="F78" s="23" t="s">
        <v>244</v>
      </c>
      <c r="G78" s="23" t="s">
        <v>48</v>
      </c>
      <c r="H78" s="26" t="s">
        <v>50</v>
      </c>
      <c r="I78" s="28">
        <f t="shared" si="9"/>
        <v>28</v>
      </c>
      <c r="J78" s="28">
        <v>4</v>
      </c>
      <c r="K78" s="10" t="str">
        <f xml:space="preserve"> IFERROR("0x" &amp; DEC2HEX(VLOOKUP(F78,Common!$C$10:$D$34,2,FALSE),2) &amp; DEC2HEX(I78,3) &amp; DEC2HEX(VLOOKUP(G78,Common!$C$51:$D$55,2,FALSE),1) &amp; DEC2HEX(1+2*VLOOKUP(H78,Common!$C$69:$D$72,2,FALSE),1) &amp; DEC2HEX(IFERROR(LOG(J78,2),0),1),0)</f>
        <v>0x0701C152</v>
      </c>
      <c r="L78" s="29" t="str">
        <f t="shared" si="8"/>
        <v>PAD_CU_SN_INDEX4</v>
      </c>
      <c r="M78" s="21" t="s">
        <v>259</v>
      </c>
      <c r="N78" s="22"/>
      <c r="O78" s="22"/>
      <c r="P78" s="22"/>
      <c r="Q78" s="23"/>
      <c r="R78" s="23"/>
      <c r="S78" s="22"/>
      <c r="T78" s="21"/>
      <c r="U78"/>
      <c r="V78"/>
      <c r="W78"/>
      <c r="X78"/>
      <c r="Y78"/>
      <c r="Z78" s="12"/>
      <c r="AA78" s="12"/>
      <c r="AB78" s="12"/>
      <c r="AC78" s="12"/>
      <c r="AD78" s="12"/>
      <c r="AE78" s="12"/>
      <c r="AF78" s="12"/>
      <c r="AG78" s="12"/>
      <c r="AH78" s="12"/>
      <c r="AI78" s="12"/>
    </row>
    <row r="79" spans="1:35" s="10" customFormat="1" x14ac:dyDescent="0.25">
      <c r="A79" s="12"/>
      <c r="B79" s="12"/>
      <c r="C79" s="12"/>
      <c r="D79"/>
      <c r="E79" s="24" t="s">
        <v>239</v>
      </c>
      <c r="F79" s="23" t="s">
        <v>244</v>
      </c>
      <c r="G79" s="23" t="s">
        <v>48</v>
      </c>
      <c r="H79" s="26" t="s">
        <v>50</v>
      </c>
      <c r="I79" s="28">
        <f t="shared" si="9"/>
        <v>32</v>
      </c>
      <c r="J79" s="28">
        <v>4</v>
      </c>
      <c r="K79" s="10" t="str">
        <f xml:space="preserve"> IFERROR("0x" &amp; DEC2HEX(VLOOKUP(F79,Common!$C$10:$D$34,2,FALSE),2) &amp; DEC2HEX(I79,3) &amp; DEC2HEX(VLOOKUP(G79,Common!$C$51:$D$55,2,FALSE),1) &amp; DEC2HEX(1+2*VLOOKUP(H79,Common!$C$69:$D$72,2,FALSE),1) &amp; DEC2HEX(IFERROR(LOG(J79,2),0),1),0)</f>
        <v>0x07020152</v>
      </c>
      <c r="L79" s="29" t="str">
        <f t="shared" si="8"/>
        <v>PAD_CU_SN_INDEX5</v>
      </c>
      <c r="M79" s="21" t="s">
        <v>260</v>
      </c>
      <c r="N79" s="22"/>
      <c r="O79" s="22"/>
      <c r="P79" s="22"/>
      <c r="Q79" s="23"/>
      <c r="R79" s="23"/>
      <c r="S79" s="22"/>
      <c r="T79" s="21"/>
      <c r="U79"/>
      <c r="V79"/>
      <c r="W79"/>
      <c r="X79"/>
      <c r="Y79"/>
      <c r="Z79" s="12"/>
      <c r="AA79" s="12"/>
      <c r="AB79" s="12"/>
      <c r="AC79" s="12"/>
      <c r="AD79" s="12"/>
      <c r="AE79" s="12"/>
      <c r="AF79" s="12"/>
      <c r="AG79" s="12"/>
      <c r="AH79" s="12"/>
      <c r="AI79" s="12"/>
    </row>
    <row r="80" spans="1:35" s="10" customFormat="1" x14ac:dyDescent="0.25">
      <c r="A80" s="12"/>
      <c r="B80" s="12"/>
      <c r="C80" s="12"/>
      <c r="D80"/>
      <c r="E80" s="24" t="s">
        <v>240</v>
      </c>
      <c r="F80" s="23" t="s">
        <v>244</v>
      </c>
      <c r="G80" s="23" t="s">
        <v>48</v>
      </c>
      <c r="H80" s="26" t="s">
        <v>50</v>
      </c>
      <c r="I80" s="28">
        <f t="shared" si="9"/>
        <v>36</v>
      </c>
      <c r="J80" s="28">
        <v>4</v>
      </c>
      <c r="K80" s="10" t="str">
        <f xml:space="preserve"> IFERROR("0x" &amp; DEC2HEX(VLOOKUP(F80,Common!$C$10:$D$34,2,FALSE),2) &amp; DEC2HEX(I80,3) &amp; DEC2HEX(VLOOKUP(G80,Common!$C$51:$D$55,2,FALSE),1) &amp; DEC2HEX(1+2*VLOOKUP(H80,Common!$C$69:$D$72,2,FALSE),1) &amp; DEC2HEX(IFERROR(LOG(J80,2),0),1),0)</f>
        <v>0x07024152</v>
      </c>
      <c r="L80" s="29" t="str">
        <f t="shared" si="8"/>
        <v>PAD_CU_SN_INDEX6</v>
      </c>
      <c r="M80" s="21" t="s">
        <v>261</v>
      </c>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t="s">
        <v>241</v>
      </c>
      <c r="F81" s="23" t="s">
        <v>244</v>
      </c>
      <c r="G81" s="23" t="s">
        <v>48</v>
      </c>
      <c r="H81" s="26" t="s">
        <v>50</v>
      </c>
      <c r="I81" s="28">
        <f t="shared" si="9"/>
        <v>40</v>
      </c>
      <c r="J81" s="28">
        <v>4</v>
      </c>
      <c r="K81" s="10" t="str">
        <f xml:space="preserve"> IFERROR("0x" &amp; DEC2HEX(VLOOKUP(F81,Common!$C$10:$D$34,2,FALSE),2) &amp; DEC2HEX(I81,3) &amp; DEC2HEX(VLOOKUP(G81,Common!$C$51:$D$55,2,FALSE),1) &amp; DEC2HEX(1+2*VLOOKUP(H81,Common!$C$69:$D$72,2,FALSE),1) &amp; DEC2HEX(IFERROR(LOG(J81,2),0),1),0)</f>
        <v>0x07028152</v>
      </c>
      <c r="L81" s="29" t="str">
        <f t="shared" si="8"/>
        <v>PAD_CU_SN_INDEX7</v>
      </c>
      <c r="M81" s="21" t="s">
        <v>262</v>
      </c>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25">
      <c r="A82" s="12"/>
      <c r="B82" s="12"/>
      <c r="C82" s="12"/>
      <c r="D82"/>
      <c r="E82" s="24" t="s">
        <v>242</v>
      </c>
      <c r="F82" s="23" t="s">
        <v>244</v>
      </c>
      <c r="G82" s="23" t="s">
        <v>48</v>
      </c>
      <c r="H82" s="26" t="s">
        <v>50</v>
      </c>
      <c r="I82" s="28">
        <f t="shared" si="9"/>
        <v>44</v>
      </c>
      <c r="J82" s="28">
        <v>4</v>
      </c>
      <c r="K82" s="10" t="str">
        <f xml:space="preserve"> IFERROR("0x" &amp; DEC2HEX(VLOOKUP(F82,Common!$C$10:$D$34,2,FALSE),2) &amp; DEC2HEX(I82,3) &amp; DEC2HEX(VLOOKUP(G82,Common!$C$51:$D$55,2,FALSE),1) &amp; DEC2HEX(1+2*VLOOKUP(H82,Common!$C$69:$D$72,2,FALSE),1) &amp; DEC2HEX(IFERROR(LOG(J82,2),0),1),0)</f>
        <v>0x0702C152</v>
      </c>
      <c r="L82" s="29" t="str">
        <f t="shared" si="8"/>
        <v>PAD_CU_SN_INDEX8</v>
      </c>
      <c r="M82" s="21" t="s">
        <v>263</v>
      </c>
      <c r="N82" s="22"/>
      <c r="O82" s="22"/>
      <c r="P82" s="22"/>
      <c r="Q82" s="23"/>
      <c r="R82" s="23"/>
      <c r="S82" s="22"/>
      <c r="T82" s="21"/>
      <c r="U82"/>
      <c r="V82"/>
      <c r="W82"/>
      <c r="X82"/>
      <c r="Y82"/>
      <c r="Z82" s="12"/>
      <c r="AA82" s="12"/>
      <c r="AB82" s="12"/>
      <c r="AC82" s="12"/>
      <c r="AD82" s="12"/>
      <c r="AE82" s="12"/>
      <c r="AF82" s="12"/>
      <c r="AG82" s="12"/>
      <c r="AH82" s="12"/>
      <c r="AI82" s="12"/>
    </row>
    <row r="83" spans="1:35" s="10" customFormat="1" x14ac:dyDescent="0.25">
      <c r="A83" s="12"/>
      <c r="B83" s="12"/>
      <c r="C83" s="12"/>
      <c r="D83"/>
      <c r="E83" s="24" t="s">
        <v>243</v>
      </c>
      <c r="F83" s="23" t="s">
        <v>244</v>
      </c>
      <c r="G83" s="23" t="s">
        <v>48</v>
      </c>
      <c r="H83" s="26" t="s">
        <v>50</v>
      </c>
      <c r="I83" s="28">
        <f t="shared" si="9"/>
        <v>48</v>
      </c>
      <c r="J83" s="28">
        <v>4</v>
      </c>
      <c r="K83" s="10" t="str">
        <f xml:space="preserve"> IFERROR("0x" &amp; DEC2HEX(VLOOKUP(F83,Common!$C$10:$D$34,2,FALSE),2) &amp; DEC2HEX(I83,3) &amp; DEC2HEX(VLOOKUP(G83,Common!$C$51:$D$55,2,FALSE),1) &amp; DEC2HEX(1+2*VLOOKUP(H83,Common!$C$69:$D$72,2,FALSE),1) &amp; DEC2HEX(IFERROR(LOG(J83,2),0),1),0)</f>
        <v>0x07030152</v>
      </c>
      <c r="L83" s="29" t="str">
        <f t="shared" si="8"/>
        <v>PAD_CU_SN_INDEX9</v>
      </c>
      <c r="M83" s="21" t="s">
        <v>264</v>
      </c>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 t="s">
        <v>247</v>
      </c>
      <c r="F84" s="23" t="s">
        <v>244</v>
      </c>
      <c r="G84" s="23" t="s">
        <v>48</v>
      </c>
      <c r="H84" s="26" t="s">
        <v>50</v>
      </c>
      <c r="I84" s="28">
        <f t="shared" si="9"/>
        <v>52</v>
      </c>
      <c r="J84" s="28">
        <v>4</v>
      </c>
      <c r="K84" s="10" t="str">
        <f xml:space="preserve"> IFERROR("0x" &amp; DEC2HEX(VLOOKUP(F84,Common!$C$10:$D$34,2,FALSE),2) &amp; DEC2HEX(I84,3) &amp; DEC2HEX(VLOOKUP(G84,Common!$C$51:$D$55,2,FALSE),1) &amp; DEC2HEX(1+2*VLOOKUP(H84,Common!$C$69:$D$72,2,FALSE),1) &amp; DEC2HEX(IFERROR(LOG(J84,2),0),1),0)</f>
        <v>0x07034152</v>
      </c>
      <c r="L84" s="29" t="str">
        <f t="shared" si="8"/>
        <v>PAD_TIU_STANDBY</v>
      </c>
      <c r="M84" s="21" t="s">
        <v>265</v>
      </c>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1" t="s">
        <v>248</v>
      </c>
      <c r="F85" s="23" t="s">
        <v>244</v>
      </c>
      <c r="G85" s="23" t="s">
        <v>48</v>
      </c>
      <c r="H85" s="26" t="s">
        <v>50</v>
      </c>
      <c r="I85" s="28">
        <f t="shared" si="9"/>
        <v>56</v>
      </c>
      <c r="J85" s="28">
        <v>4</v>
      </c>
      <c r="K85" s="10" t="str">
        <f xml:space="preserve"> IFERROR("0x" &amp; DEC2HEX(VLOOKUP(F85,Common!$C$10:$D$34,2,FALSE),2) &amp; DEC2HEX(I85,3) &amp; DEC2HEX(VLOOKUP(G85,Common!$C$51:$D$55,2,FALSE),1) &amp; DEC2HEX(1+2*VLOOKUP(H85,Common!$C$69:$D$72,2,FALSE),1) &amp; DEC2HEX(IFERROR(LOG(J85,2),0),1),0)</f>
        <v>0x07038152</v>
      </c>
      <c r="L85" s="29" t="str">
        <f>IF(AND(LEN(E85)&lt;&gt;0,S123=""),F85&amp;"_"&amp;UPPER(E85),"")</f>
        <v>PAD_TIU_ACTIVE</v>
      </c>
      <c r="M85" s="21" t="s">
        <v>266</v>
      </c>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t="s">
        <v>249</v>
      </c>
      <c r="F86" s="23" t="s">
        <v>244</v>
      </c>
      <c r="G86" s="23" t="s">
        <v>48</v>
      </c>
      <c r="H86" s="26" t="s">
        <v>50</v>
      </c>
      <c r="I86" s="28">
        <f t="shared" si="9"/>
        <v>60</v>
      </c>
      <c r="J86" s="28">
        <v>4</v>
      </c>
      <c r="K86" s="10" t="str">
        <f xml:space="preserve"> IFERROR("0x" &amp; DEC2HEX(VLOOKUP(F86,Common!$C$10:$D$34,2,FALSE),2) &amp; DEC2HEX(I86,3) &amp; DEC2HEX(VLOOKUP(G86,Common!$C$51:$D$55,2,FALSE),1) &amp; DEC2HEX(1+2*VLOOKUP(H86,Common!$C$69:$D$72,2,FALSE),1) &amp; DEC2HEX(IFERROR(LOG(J86,2),0),1),0)</f>
        <v>0x0703C152</v>
      </c>
      <c r="L86" s="29" t="str">
        <f t="shared" ref="L86:L89" si="10">IF(AND(LEN(E86)&lt;&gt;0,S127=""),F86&amp;"_"&amp;UPPER(E86),"")</f>
        <v>PAD_KID_PLACEMENT_NOTIF_CNT</v>
      </c>
      <c r="M86" s="21" t="s">
        <v>267</v>
      </c>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t="s">
        <v>250</v>
      </c>
      <c r="F87" s="23" t="s">
        <v>244</v>
      </c>
      <c r="G87" s="23" t="s">
        <v>48</v>
      </c>
      <c r="H87" s="26" t="s">
        <v>50</v>
      </c>
      <c r="I87" s="28">
        <f t="shared" si="9"/>
        <v>64</v>
      </c>
      <c r="J87" s="28">
        <v>4</v>
      </c>
      <c r="K87" s="10" t="str">
        <f xml:space="preserve"> IFERROR("0x" &amp; DEC2HEX(VLOOKUP(F87,Common!$C$10:$D$34,2,FALSE),2) &amp; DEC2HEX(I87,3) &amp; DEC2HEX(VLOOKUP(G87,Common!$C$51:$D$55,2,FALSE),1) &amp; DEC2HEX(1+2*VLOOKUP(H87,Common!$C$69:$D$72,2,FALSE),1) &amp; DEC2HEX(IFERROR(LOG(J87,2),0),1),0)</f>
        <v>0x07040152</v>
      </c>
      <c r="L87" s="29" t="str">
        <f t="shared" si="10"/>
        <v>PAD_ACTIVE_MODE_CNT</v>
      </c>
      <c r="M87" s="21" t="s">
        <v>268</v>
      </c>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t="s">
        <v>251</v>
      </c>
      <c r="F88" s="23" t="s">
        <v>244</v>
      </c>
      <c r="G88" s="23" t="s">
        <v>48</v>
      </c>
      <c r="H88" s="26" t="s">
        <v>50</v>
      </c>
      <c r="I88" s="28">
        <f t="shared" si="9"/>
        <v>68</v>
      </c>
      <c r="J88" s="28">
        <v>4</v>
      </c>
      <c r="K88" s="10" t="str">
        <f xml:space="preserve"> IFERROR("0x" &amp; DEC2HEX(VLOOKUP(F88,Common!$C$10:$D$34,2,FALSE),2) &amp; DEC2HEX(I88,3) &amp; DEC2HEX(VLOOKUP(G88,Common!$C$51:$D$55,2,FALSE),1) &amp; DEC2HEX(1+2*VLOOKUP(H88,Common!$C$69:$D$72,2,FALSE),1) &amp; DEC2HEX(IFERROR(LOG(J88,2),0),1),0)</f>
        <v>0x07044152</v>
      </c>
      <c r="L88" s="29" t="str">
        <f t="shared" si="10"/>
        <v>PAD_CONN_CNT</v>
      </c>
      <c r="M88" s="21" t="s">
        <v>269</v>
      </c>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t="s">
        <v>252</v>
      </c>
      <c r="F89" s="23" t="s">
        <v>244</v>
      </c>
      <c r="G89" s="23" t="s">
        <v>48</v>
      </c>
      <c r="H89" s="26" t="s">
        <v>50</v>
      </c>
      <c r="I89" s="28">
        <f t="shared" si="9"/>
        <v>72</v>
      </c>
      <c r="J89" s="28">
        <v>4</v>
      </c>
      <c r="K89" s="10" t="str">
        <f xml:space="preserve"> IFERROR("0x" &amp; DEC2HEX(VLOOKUP(F89,Common!$C$10:$D$34,2,FALSE),2) &amp; DEC2HEX(I89,3) &amp; DEC2HEX(VLOOKUP(G89,Common!$C$51:$D$55,2,FALSE),1) &amp; DEC2HEX(1+2*VLOOKUP(H89,Common!$C$69:$D$72,2,FALSE),1) &amp; DEC2HEX(IFERROR(LOG(J89,2),0),1),0)</f>
        <v>0x07048152</v>
      </c>
      <c r="L89" s="29" t="str">
        <f t="shared" si="10"/>
        <v>PAD_ALARM_CNT</v>
      </c>
      <c r="M89" s="21" t="s">
        <v>270</v>
      </c>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2"/>
      <c r="H93" s="25"/>
      <c r="I93" s="22"/>
      <c r="J93" s="22"/>
      <c r="K93" s="22"/>
      <c r="L93" s="22"/>
      <c r="M93" s="24"/>
      <c r="N93" s="22"/>
      <c r="O93" s="22"/>
      <c r="P93" s="22"/>
      <c r="Q93" s="22"/>
      <c r="R93" s="22"/>
      <c r="S93" s="22"/>
      <c r="T93" s="19"/>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2"/>
      <c r="H94" s="22"/>
      <c r="I94" s="22"/>
      <c r="J94" s="22"/>
      <c r="K94" s="22"/>
      <c r="L94" s="22"/>
      <c r="M94" s="21"/>
      <c r="N94" s="22"/>
      <c r="O94" s="22"/>
      <c r="P94" s="22"/>
      <c r="Q94" s="22"/>
      <c r="R94" s="22"/>
      <c r="S94" s="22"/>
      <c r="T94" s="19"/>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4"/>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19"/>
      <c r="F97" s="23"/>
      <c r="G97" s="22"/>
      <c r="H97" s="25"/>
      <c r="I97" s="22"/>
      <c r="J97" s="22"/>
      <c r="K97" s="22"/>
      <c r="L97" s="23"/>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2"/>
      <c r="I99" s="22"/>
      <c r="J99" s="22"/>
      <c r="K99" s="22"/>
      <c r="L99" s="23"/>
      <c r="M99" s="24"/>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4"/>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19"/>
      <c r="F101" s="23"/>
      <c r="G101" s="22"/>
      <c r="H101" s="22"/>
      <c r="I101" s="22"/>
      <c r="J101" s="22"/>
      <c r="K101" s="22"/>
      <c r="L101" s="23"/>
      <c r="M101" s="24"/>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19"/>
      <c r="F102" s="23"/>
      <c r="G102" s="22"/>
      <c r="H102" s="22"/>
      <c r="I102" s="22"/>
      <c r="J102" s="22"/>
      <c r="K102" s="22"/>
      <c r="L102" s="23"/>
      <c r="M102" s="21"/>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1"/>
      <c r="F103" s="23"/>
      <c r="G103" s="23"/>
      <c r="H103" s="23"/>
      <c r="I103" s="22"/>
      <c r="J103" s="22"/>
      <c r="K103" s="22"/>
      <c r="L103" s="22"/>
      <c r="M103" s="21"/>
      <c r="N103" s="22"/>
      <c r="O103" s="22"/>
      <c r="P103" s="22"/>
      <c r="Q103" s="22"/>
      <c r="R103" s="22"/>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3"/>
      <c r="M104" s="21"/>
      <c r="N104" s="22"/>
      <c r="O104" s="22"/>
      <c r="P104" s="22"/>
      <c r="Q104" s="22"/>
      <c r="R104" s="28"/>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3"/>
      <c r="M105" s="21"/>
      <c r="N105" s="22"/>
      <c r="O105" s="22"/>
      <c r="P105" s="22"/>
      <c r="Q105" s="22"/>
      <c r="R105" s="28"/>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2"/>
      <c r="R106" s="28"/>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30"/>
      <c r="N107" s="22"/>
      <c r="O107" s="22"/>
      <c r="P107" s="22"/>
      <c r="Q107" s="23"/>
      <c r="R107" s="23"/>
      <c r="S107" s="22"/>
      <c r="T107" s="27"/>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3"/>
      <c r="R108" s="23"/>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3"/>
      <c r="R109" s="23"/>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4"/>
      <c r="N110" s="22"/>
      <c r="O110" s="22"/>
      <c r="P110" s="22"/>
      <c r="Q110" s="23"/>
      <c r="R110" s="23"/>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4"/>
      <c r="N111" s="22"/>
      <c r="O111" s="22"/>
      <c r="P111" s="22"/>
      <c r="Q111" s="23"/>
      <c r="R111" s="23"/>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3"/>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3"/>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2"/>
      <c r="R126" s="28"/>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1"/>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1"/>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2"/>
      <c r="F133" s="22"/>
      <c r="G133" s="22"/>
      <c r="H133" s="22"/>
      <c r="I133" s="22"/>
      <c r="J133" s="22"/>
      <c r="K133" s="22"/>
      <c r="L133" s="22"/>
      <c r="M133" s="22"/>
      <c r="N133" s="22"/>
      <c r="O133" s="22"/>
      <c r="P133" s="22"/>
      <c r="Q133" s="22"/>
      <c r="R133" s="28"/>
      <c r="S133" s="22"/>
      <c r="T133" s="22"/>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1"/>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s="24"/>
      <c r="F167" s="23"/>
      <c r="G167" s="22"/>
      <c r="H167" s="25"/>
      <c r="I167" s="22"/>
      <c r="J167" s="22"/>
      <c r="K167" s="22"/>
      <c r="L167" s="22"/>
      <c r="M167" s="24"/>
      <c r="N167" s="22"/>
      <c r="O167" s="22"/>
      <c r="P167" s="22"/>
      <c r="Q167" s="22"/>
      <c r="R167" s="22"/>
      <c r="S167" s="22"/>
      <c r="T167" s="19"/>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c r="F177"/>
      <c r="G177"/>
      <c r="H177"/>
      <c r="I177"/>
      <c r="J177"/>
      <c r="K177"/>
      <c r="L177"/>
      <c r="M177"/>
      <c r="N177"/>
      <c r="O177"/>
      <c r="P177"/>
      <c r="Q177"/>
      <c r="R177"/>
      <c r="S177"/>
      <c r="T177"/>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c r="F178"/>
      <c r="G178"/>
      <c r="H178"/>
      <c r="I178"/>
      <c r="J178"/>
      <c r="K178"/>
      <c r="L178"/>
      <c r="M178"/>
      <c r="N178"/>
      <c r="O178"/>
      <c r="P178"/>
      <c r="Q178"/>
      <c r="R178"/>
      <c r="S178"/>
      <c r="T178"/>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c r="F179"/>
      <c r="G179"/>
      <c r="H179"/>
      <c r="I179"/>
      <c r="J179"/>
      <c r="K179"/>
      <c r="L179"/>
      <c r="M179"/>
      <c r="N179"/>
      <c r="O179"/>
      <c r="P179"/>
      <c r="Q179"/>
      <c r="R179"/>
      <c r="S179"/>
      <c r="T179"/>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2"/>
      <c r="I180" s="22"/>
      <c r="J180" s="22"/>
      <c r="K180" s="22"/>
      <c r="L180" s="22"/>
      <c r="M180" s="21"/>
      <c r="N180" s="22"/>
      <c r="O180" s="22"/>
      <c r="P180" s="22"/>
      <c r="Q180" s="22"/>
      <c r="R180" s="22"/>
      <c r="S180" s="22"/>
      <c r="T180" s="19"/>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5"/>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2"/>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2"/>
      <c r="F187" s="23"/>
      <c r="G187" s="22"/>
      <c r="H187" s="22"/>
      <c r="I187" s="22"/>
      <c r="J187" s="22"/>
      <c r="K187" s="22"/>
      <c r="L187" s="23"/>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2"/>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2"/>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3"/>
      <c r="I190" s="22"/>
      <c r="J190" s="22"/>
      <c r="K190" s="22"/>
      <c r="L190" s="22"/>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3"/>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3"/>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1"/>
      <c r="N200" s="22"/>
      <c r="O200" s="22"/>
      <c r="P200" s="22"/>
      <c r="Q200" s="22"/>
      <c r="R200" s="28"/>
      <c r="S200" s="22"/>
      <c r="T200" s="20"/>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2"/>
      <c r="H201" s="22"/>
      <c r="I201" s="22"/>
      <c r="J201" s="22"/>
      <c r="K201" s="22"/>
      <c r="L201" s="22"/>
      <c r="M201" s="21"/>
      <c r="N201" s="22"/>
      <c r="O201" s="22"/>
      <c r="P201" s="22"/>
      <c r="Q201" s="22"/>
      <c r="R201" s="22"/>
      <c r="S201" s="22"/>
      <c r="T201" s="19"/>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5"/>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2"/>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3"/>
      <c r="I211" s="22"/>
      <c r="J211" s="22"/>
      <c r="K211" s="22"/>
      <c r="L211" s="22"/>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1"/>
      <c r="N221" s="22"/>
      <c r="O221" s="22"/>
      <c r="P221" s="22"/>
      <c r="Q221" s="22"/>
      <c r="R221" s="28"/>
      <c r="S221" s="22"/>
      <c r="T221" s="20"/>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2"/>
      <c r="H222" s="22"/>
      <c r="I222" s="22"/>
      <c r="J222" s="22"/>
      <c r="K222" s="22"/>
      <c r="L222" s="22"/>
      <c r="M222" s="21"/>
      <c r="N222" s="22"/>
      <c r="O222" s="22"/>
      <c r="P222" s="22"/>
      <c r="Q222" s="22"/>
      <c r="R222" s="22"/>
      <c r="S222" s="22"/>
      <c r="T222" s="19"/>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5"/>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2"/>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3"/>
      <c r="I232" s="22"/>
      <c r="J232" s="22"/>
      <c r="K232" s="22"/>
      <c r="L232" s="22"/>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1"/>
      <c r="N242" s="22"/>
      <c r="O242" s="22"/>
      <c r="P242" s="22"/>
      <c r="Q242" s="22"/>
      <c r="R242" s="28"/>
      <c r="S242" s="22"/>
      <c r="T242" s="20"/>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2"/>
      <c r="H243" s="22"/>
      <c r="I243" s="22"/>
      <c r="J243" s="22"/>
      <c r="K243" s="22"/>
      <c r="L243" s="22"/>
      <c r="M243" s="21"/>
      <c r="N243" s="22"/>
      <c r="O243" s="22"/>
      <c r="P243" s="22"/>
      <c r="Q243" s="22"/>
      <c r="R243" s="22"/>
      <c r="S243" s="22"/>
      <c r="T243" s="19"/>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5"/>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2"/>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3"/>
      <c r="I253" s="22"/>
      <c r="J253" s="22"/>
      <c r="K253" s="22"/>
      <c r="L253" s="22"/>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3"/>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1"/>
      <c r="N263" s="22"/>
      <c r="O263" s="22"/>
      <c r="P263" s="22"/>
      <c r="Q263" s="22"/>
      <c r="R263" s="28"/>
      <c r="S263" s="22"/>
      <c r="T263" s="20"/>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s="12"/>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s="12"/>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s="12"/>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s="12"/>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s="12"/>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s="15"/>
      <c r="E456"/>
      <c r="F456"/>
      <c r="G456" s="3"/>
      <c r="H456" s="3"/>
      <c r="I456" s="3"/>
      <c r="J456" s="3"/>
      <c r="K456"/>
      <c r="L456"/>
      <c r="M456"/>
      <c r="N456" s="3"/>
      <c r="O456" s="3"/>
      <c r="P456" s="3"/>
      <c r="Q456" s="3"/>
      <c r="R456" s="3"/>
      <c r="S456"/>
      <c r="T456"/>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5"/>
      <c r="E457"/>
      <c r="F457"/>
      <c r="G457" s="3"/>
      <c r="H457" s="3"/>
      <c r="I457" s="3"/>
      <c r="J457" s="3"/>
      <c r="K457"/>
      <c r="L457"/>
      <c r="M457"/>
      <c r="N457" s="3"/>
      <c r="O457" s="3"/>
      <c r="P457" s="3"/>
      <c r="Q457" s="3"/>
      <c r="R457" s="3"/>
      <c r="S457"/>
      <c r="T457"/>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5"/>
      <c r="E458"/>
      <c r="F458"/>
      <c r="G458" s="3"/>
      <c r="H458" s="3"/>
      <c r="I458" s="3"/>
      <c r="J458" s="3"/>
      <c r="K458"/>
      <c r="L458"/>
      <c r="M458"/>
      <c r="N458" s="3"/>
      <c r="O458" s="3"/>
      <c r="P458" s="3"/>
      <c r="Q458" s="3"/>
      <c r="R458" s="3"/>
      <c r="S458"/>
      <c r="T458"/>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c r="F459"/>
      <c r="G459" s="3"/>
      <c r="H459" s="3"/>
      <c r="I459" s="3"/>
      <c r="J459" s="3"/>
      <c r="K459"/>
      <c r="L459"/>
      <c r="M459"/>
      <c r="N459" s="3"/>
      <c r="O459" s="3"/>
      <c r="P459" s="3"/>
      <c r="Q459" s="3"/>
      <c r="R459" s="3"/>
      <c r="S459"/>
      <c r="T459"/>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c r="F460"/>
      <c r="G460" s="3"/>
      <c r="H460" s="3"/>
      <c r="I460" s="3"/>
      <c r="J460" s="3"/>
      <c r="K460"/>
      <c r="L460"/>
      <c r="M460"/>
      <c r="N460" s="3"/>
      <c r="O460" s="3"/>
      <c r="P460" s="3"/>
      <c r="Q460" s="3"/>
      <c r="R460" s="3"/>
      <c r="S460"/>
      <c r="T460"/>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11</xdr:col>
                <xdr:colOff>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9" sqref="F19"/>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204</v>
      </c>
      <c r="D16" s="3">
        <v>5</v>
      </c>
      <c r="E16" t="s">
        <v>205</v>
      </c>
      <c r="F16" t="s">
        <v>206</v>
      </c>
    </row>
    <row r="17" spans="3:6" x14ac:dyDescent="0.25">
      <c r="C17" t="s">
        <v>197</v>
      </c>
      <c r="D17" s="3">
        <v>6</v>
      </c>
      <c r="E17" t="s">
        <v>87</v>
      </c>
      <c r="F17" t="s">
        <v>203</v>
      </c>
    </row>
    <row r="18" spans="3:6" x14ac:dyDescent="0.25">
      <c r="C18" s="2" t="s">
        <v>244</v>
      </c>
      <c r="D18" s="3">
        <v>7</v>
      </c>
      <c r="E18" t="s">
        <v>245</v>
      </c>
      <c r="F18" t="s">
        <v>246</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2024-09-24T07:59:14Z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